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Sale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Read Me" sheetId="3" state="visible" r:id="rId3"/>
  </sheets>
  <definedNames>
    <definedName name="_xlnm._FilterDatabase" localSheetId="0" hidden="1">'Raw Sales'!$A$1:$J$51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dd-mmm-yyyy"/>
    <numFmt numFmtId="165" formatCode="₹#,##0.00"/>
  </numFmts>
  <fonts count="7">
    <font>
      <name val="Calibri"/>
      <family val="2"/>
      <color theme="1"/>
      <sz val="11"/>
      <scheme val="minor"/>
    </font>
    <font>
      <b val="1"/>
      <color rgb="00FFFFFF"/>
    </font>
    <font>
      <b val="1"/>
      <color rgb="00FFFFFF"/>
      <sz val="16"/>
    </font>
    <font>
      <i val="1"/>
      <color rgb="00666666"/>
    </font>
    <font>
      <b val="1"/>
    </font>
    <font>
      <b val="1"/>
      <color rgb="00FFFFFF"/>
      <sz val="15"/>
    </font>
    <font>
      <b val="1"/>
      <color rgb="001F4E78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1F2"/>
      </bottom>
    </border>
    <border>
      <bottom style="hair">
        <color rgb="00E6E6E6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164" fontId="0" fillId="0" borderId="2" pivotButton="0" quotePrefix="0" xfId="0"/>
    <xf numFmtId="0" fontId="0" fillId="0" borderId="2" pivotButton="0" quotePrefix="0" xfId="0"/>
    <xf numFmtId="165" fontId="0" fillId="0" borderId="2" pivotButton="0" quotePrefix="0" xfId="0"/>
    <xf numFmtId="0" fontId="2" fillId="2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3" borderId="0" applyAlignment="1" pivotButton="0" quotePrefix="0" xfId="0">
      <alignment vertical="center"/>
    </xf>
    <xf numFmtId="164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5" fillId="2" borderId="0" pivotButton="0" quotePrefix="0" xfId="0"/>
    <xf numFmtId="0" fontId="4" fillId="3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2" pivotButton="0" quotePrefix="0" xfId="0"/>
    <xf numFmtId="165" fontId="0" fillId="0" borderId="2" pivotButton="0" quotePrefix="0" xfId="0"/>
    <xf numFmtId="164" fontId="0" fillId="0" borderId="2" applyAlignment="1" pivotButton="0" quotePrefix="0" xfId="0">
      <alignment vertical="center"/>
    </xf>
    <xf numFmtId="165" fontId="0" fillId="0" borderId="2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6" customWidth="1" min="3" max="3"/>
    <col width="20" customWidth="1" min="4" max="4"/>
    <col width="16" customWidth="1" min="5" max="5"/>
    <col width="10" customWidth="1" min="6" max="6"/>
    <col width="13" customWidth="1" min="7" max="7"/>
    <col width="16" customWidth="1" min="8" max="8"/>
    <col width="17" customWidth="1" min="9" max="9"/>
    <col width="14" customWidth="1" min="10" max="10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Salesperson</t>
        </is>
      </c>
      <c r="D1" s="1" t="inlineStr">
        <is>
          <t>Product</t>
        </is>
      </c>
      <c r="E1" s="1" t="inlineStr">
        <is>
          <t>Category</t>
        </is>
      </c>
      <c r="F1" s="1" t="inlineStr">
        <is>
          <t>Units</t>
        </is>
      </c>
      <c r="G1" s="1" t="inlineStr">
        <is>
          <t>Unit Price</t>
        </is>
      </c>
      <c r="H1" s="1" t="inlineStr">
        <is>
          <t>Sales Amount</t>
        </is>
      </c>
      <c r="I1" s="1" t="inlineStr">
        <is>
          <t>Payment Method</t>
        </is>
      </c>
      <c r="J1" s="1" t="inlineStr">
        <is>
          <t>Status</t>
        </is>
      </c>
    </row>
    <row r="2">
      <c r="A2" s="16" t="n">
        <v>46296</v>
      </c>
      <c r="B2" s="3" t="inlineStr">
        <is>
          <t>ORD-1001</t>
        </is>
      </c>
      <c r="C2" s="3" t="inlineStr">
        <is>
          <t>Asha</t>
        </is>
      </c>
      <c r="D2" s="3" t="inlineStr">
        <is>
          <t>Notebook</t>
        </is>
      </c>
      <c r="E2" s="3" t="inlineStr">
        <is>
          <t>Stationery</t>
        </is>
      </c>
      <c r="F2" s="3" t="n">
        <v>10</v>
      </c>
      <c r="G2" s="17" t="n">
        <v>45</v>
      </c>
      <c r="H2" s="17">
        <f>F2*G2</f>
        <v/>
      </c>
      <c r="I2" s="3" t="inlineStr">
        <is>
          <t>UPI</t>
        </is>
      </c>
      <c r="J2" s="3" t="inlineStr">
        <is>
          <t>Completed</t>
        </is>
      </c>
    </row>
    <row r="3">
      <c r="A3" s="16" t="n">
        <v>46296</v>
      </c>
      <c r="B3" s="3" t="inlineStr">
        <is>
          <t>ORD-1002</t>
        </is>
      </c>
      <c r="C3" s="3" t="inlineStr">
        <is>
          <t>Rahul</t>
        </is>
      </c>
      <c r="D3" s="3" t="inlineStr">
        <is>
          <t>Pen Set</t>
        </is>
      </c>
      <c r="E3" s="3" t="inlineStr">
        <is>
          <t>Stationery</t>
        </is>
      </c>
      <c r="F3" s="3" t="n">
        <v>8</v>
      </c>
      <c r="G3" s="17" t="n">
        <v>80</v>
      </c>
      <c r="H3" s="17">
        <f>F3*G3</f>
        <v/>
      </c>
      <c r="I3" s="3" t="inlineStr">
        <is>
          <t>Card</t>
        </is>
      </c>
      <c r="J3" s="3" t="inlineStr">
        <is>
          <t>Completed</t>
        </is>
      </c>
    </row>
    <row r="4">
      <c r="A4" s="16" t="n">
        <v>46297</v>
      </c>
      <c r="B4" s="3" t="inlineStr">
        <is>
          <t>ORD-1003</t>
        </is>
      </c>
      <c r="C4" s="3" t="inlineStr">
        <is>
          <t>Meera</t>
        </is>
      </c>
      <c r="D4" s="3" t="inlineStr">
        <is>
          <t>Water Bottle</t>
        </is>
      </c>
      <c r="E4" s="3" t="inlineStr">
        <is>
          <t>Accessories</t>
        </is>
      </c>
      <c r="F4" s="3" t="n">
        <v>5</v>
      </c>
      <c r="G4" s="17" t="n">
        <v>250</v>
      </c>
      <c r="H4" s="17">
        <f>F4*G4</f>
        <v/>
      </c>
      <c r="I4" s="3" t="inlineStr">
        <is>
          <t>Cash</t>
        </is>
      </c>
      <c r="J4" s="3" t="inlineStr">
        <is>
          <t>Completed</t>
        </is>
      </c>
    </row>
    <row r="5">
      <c r="A5" s="16" t="n">
        <v>46298</v>
      </c>
      <c r="B5" s="3" t="inlineStr">
        <is>
          <t>ORD-1004</t>
        </is>
      </c>
      <c r="C5" s="3" t="inlineStr">
        <is>
          <t>Asha</t>
        </is>
      </c>
      <c r="D5" s="3" t="inlineStr">
        <is>
          <t>Backpack</t>
        </is>
      </c>
      <c r="E5" s="3" t="inlineStr">
        <is>
          <t>Bags</t>
        </is>
      </c>
      <c r="F5" s="3" t="n">
        <v>2</v>
      </c>
      <c r="G5" s="17" t="n">
        <v>1200</v>
      </c>
      <c r="H5" s="17">
        <f>F5*G5</f>
        <v/>
      </c>
      <c r="I5" s="3" t="inlineStr">
        <is>
          <t>UPI</t>
        </is>
      </c>
      <c r="J5" s="3" t="inlineStr">
        <is>
          <t>Completed</t>
        </is>
      </c>
    </row>
    <row r="6">
      <c r="A6" s="16" t="n">
        <v>46299</v>
      </c>
      <c r="B6" s="3" t="inlineStr">
        <is>
          <t>ORD-1005</t>
        </is>
      </c>
      <c r="C6" s="3" t="inlineStr">
        <is>
          <t>Imran</t>
        </is>
      </c>
      <c r="D6" s="3" t="inlineStr">
        <is>
          <t>Notebook</t>
        </is>
      </c>
      <c r="E6" s="3" t="inlineStr">
        <is>
          <t>Stationery</t>
        </is>
      </c>
      <c r="F6" s="3" t="n">
        <v>12</v>
      </c>
      <c r="G6" s="17" t="n">
        <v>45</v>
      </c>
      <c r="H6" s="17">
        <f>F6*G6</f>
        <v/>
      </c>
      <c r="I6" s="3" t="inlineStr">
        <is>
          <t>Cash</t>
        </is>
      </c>
      <c r="J6" s="3" t="inlineStr">
        <is>
          <t>Completed</t>
        </is>
      </c>
    </row>
    <row r="7">
      <c r="A7" s="16" t="n">
        <v>46300</v>
      </c>
      <c r="B7" s="3" t="inlineStr">
        <is>
          <t>ORD-1006</t>
        </is>
      </c>
      <c r="C7" s="3" t="inlineStr">
        <is>
          <t>Meera</t>
        </is>
      </c>
      <c r="D7" s="3" t="inlineStr">
        <is>
          <t>Desk Lamp</t>
        </is>
      </c>
      <c r="E7" s="3" t="inlineStr">
        <is>
          <t>Home</t>
        </is>
      </c>
      <c r="F7" s="3" t="n">
        <v>3</v>
      </c>
      <c r="G7" s="17" t="n">
        <v>650</v>
      </c>
      <c r="H7" s="17">
        <f>F7*G7</f>
        <v/>
      </c>
      <c r="I7" s="3" t="inlineStr">
        <is>
          <t>Card</t>
        </is>
      </c>
      <c r="J7" s="3" t="inlineStr">
        <is>
          <t>Completed</t>
        </is>
      </c>
    </row>
    <row r="8">
      <c r="A8" s="16" t="n">
        <v>46301</v>
      </c>
      <c r="B8" s="3" t="inlineStr">
        <is>
          <t>ORD-1007</t>
        </is>
      </c>
      <c r="C8" s="3" t="inlineStr">
        <is>
          <t>Rahul</t>
        </is>
      </c>
      <c r="D8" s="3" t="inlineStr">
        <is>
          <t>Pen Set</t>
        </is>
      </c>
      <c r="E8" s="3" t="inlineStr">
        <is>
          <t>Stationery</t>
        </is>
      </c>
      <c r="F8" s="3" t="n">
        <v>6</v>
      </c>
      <c r="G8" s="17" t="n">
        <v>80</v>
      </c>
      <c r="H8" s="17">
        <f>F8*G8</f>
        <v/>
      </c>
      <c r="I8" s="3" t="inlineStr">
        <is>
          <t>UPI</t>
        </is>
      </c>
      <c r="J8" s="3" t="inlineStr">
        <is>
          <t>Returned</t>
        </is>
      </c>
    </row>
    <row r="9">
      <c r="A9" s="16" t="n">
        <v>46302</v>
      </c>
      <c r="B9" s="3" t="inlineStr">
        <is>
          <t>ORD-1008</t>
        </is>
      </c>
      <c r="C9" s="3" t="inlineStr">
        <is>
          <t>Asha</t>
        </is>
      </c>
      <c r="D9" s="3" t="inlineStr">
        <is>
          <t>Water Bottle</t>
        </is>
      </c>
      <c r="E9" s="3" t="inlineStr">
        <is>
          <t>Accessories</t>
        </is>
      </c>
      <c r="F9" s="3" t="n">
        <v>4</v>
      </c>
      <c r="G9" s="17" t="n">
        <v>250</v>
      </c>
      <c r="H9" s="17">
        <f>F9*G9</f>
        <v/>
      </c>
      <c r="I9" s="3" t="inlineStr">
        <is>
          <t>Card</t>
        </is>
      </c>
      <c r="J9" s="3" t="inlineStr">
        <is>
          <t>Completed</t>
        </is>
      </c>
    </row>
    <row r="10">
      <c r="A10" s="16" t="n">
        <v>46303</v>
      </c>
      <c r="B10" s="3" t="inlineStr">
        <is>
          <t>ORD-1009</t>
        </is>
      </c>
      <c r="C10" s="3" t="inlineStr">
        <is>
          <t>Imran</t>
        </is>
      </c>
      <c r="D10" s="3" t="inlineStr">
        <is>
          <t>Backpack</t>
        </is>
      </c>
      <c r="E10" s="3" t="inlineStr">
        <is>
          <t>Bags</t>
        </is>
      </c>
      <c r="F10" s="3" t="n">
        <v>1</v>
      </c>
      <c r="G10" s="17" t="n">
        <v>1200</v>
      </c>
      <c r="H10" s="17">
        <f>F10*G10</f>
        <v/>
      </c>
      <c r="I10" s="3" t="inlineStr">
        <is>
          <t>UPI</t>
        </is>
      </c>
      <c r="J10" s="3" t="inlineStr">
        <is>
          <t>Completed</t>
        </is>
      </c>
    </row>
    <row r="11">
      <c r="A11" s="16" t="n">
        <v>46304</v>
      </c>
      <c r="B11" s="3" t="inlineStr">
        <is>
          <t>ORD-1010</t>
        </is>
      </c>
      <c r="C11" s="3" t="inlineStr">
        <is>
          <t>Meera</t>
        </is>
      </c>
      <c r="D11" s="3" t="inlineStr">
        <is>
          <t>Notebook</t>
        </is>
      </c>
      <c r="E11" s="3" t="inlineStr">
        <is>
          <t>Stationery</t>
        </is>
      </c>
      <c r="F11" s="3" t="n">
        <v>20</v>
      </c>
      <c r="G11" s="17" t="n">
        <v>45</v>
      </c>
      <c r="H11" s="17">
        <f>F11*G11</f>
        <v/>
      </c>
      <c r="I11" s="3" t="inlineStr">
        <is>
          <t>Cash</t>
        </is>
      </c>
      <c r="J11" s="3" t="inlineStr">
        <is>
          <t>Completed</t>
        </is>
      </c>
    </row>
    <row r="12">
      <c r="A12" s="16" t="n">
        <v>46305</v>
      </c>
      <c r="B12" s="3" t="inlineStr">
        <is>
          <t>ORD-1011</t>
        </is>
      </c>
      <c r="C12" s="3" t="inlineStr">
        <is>
          <t>Rahul</t>
        </is>
      </c>
      <c r="D12" s="3" t="inlineStr">
        <is>
          <t>Desk Lamp</t>
        </is>
      </c>
      <c r="E12" s="3" t="inlineStr">
        <is>
          <t>Home</t>
        </is>
      </c>
      <c r="F12" s="3" t="n">
        <v>2</v>
      </c>
      <c r="G12" s="17" t="n">
        <v>650</v>
      </c>
      <c r="H12" s="17">
        <f>F12*G12</f>
        <v/>
      </c>
      <c r="I12" s="3" t="inlineStr">
        <is>
          <t>Card</t>
        </is>
      </c>
      <c r="J12" s="3" t="inlineStr">
        <is>
          <t>Completed</t>
        </is>
      </c>
    </row>
    <row r="13">
      <c r="A13" s="16" t="n">
        <v>46306</v>
      </c>
      <c r="B13" s="3" t="inlineStr">
        <is>
          <t>ORD-1012</t>
        </is>
      </c>
      <c r="C13" s="3" t="inlineStr">
        <is>
          <t>Asha</t>
        </is>
      </c>
      <c r="D13" s="3" t="inlineStr">
        <is>
          <t>Pen Set</t>
        </is>
      </c>
      <c r="E13" s="3" t="inlineStr">
        <is>
          <t>Stationery</t>
        </is>
      </c>
      <c r="F13" s="3" t="n">
        <v>5</v>
      </c>
      <c r="G13" s="17" t="n">
        <v>80</v>
      </c>
      <c r="H13" s="17">
        <f>F13*G13</f>
        <v/>
      </c>
      <c r="I13" s="3" t="inlineStr">
        <is>
          <t>UPI</t>
        </is>
      </c>
      <c r="J13" s="3" t="inlineStr">
        <is>
          <t>Completed</t>
        </is>
      </c>
    </row>
    <row r="14">
      <c r="A14" s="16" t="n">
        <v>46307</v>
      </c>
      <c r="B14" s="3" t="inlineStr">
        <is>
          <t>ORD-1013</t>
        </is>
      </c>
      <c r="C14" s="3" t="inlineStr">
        <is>
          <t>Imran</t>
        </is>
      </c>
      <c r="D14" s="3" t="inlineStr">
        <is>
          <t>Water Bottle</t>
        </is>
      </c>
      <c r="E14" s="3" t="inlineStr">
        <is>
          <t>Accessories</t>
        </is>
      </c>
      <c r="F14" s="3" t="n">
        <v>7</v>
      </c>
      <c r="G14" s="17" t="n">
        <v>250</v>
      </c>
      <c r="H14" s="17">
        <f>F14*G14</f>
        <v/>
      </c>
      <c r="I14" s="3" t="inlineStr">
        <is>
          <t>Cash</t>
        </is>
      </c>
      <c r="J14" s="3" t="inlineStr">
        <is>
          <t>Completed</t>
        </is>
      </c>
    </row>
    <row r="15">
      <c r="A15" s="16" t="n">
        <v>46308</v>
      </c>
      <c r="B15" s="3" t="inlineStr">
        <is>
          <t>ORD-1014</t>
        </is>
      </c>
      <c r="C15" s="3" t="inlineStr">
        <is>
          <t>Meera</t>
        </is>
      </c>
      <c r="D15" s="3" t="inlineStr">
        <is>
          <t>Backpack</t>
        </is>
      </c>
      <c r="E15" s="3" t="inlineStr">
        <is>
          <t>Bags</t>
        </is>
      </c>
      <c r="F15" s="3" t="n">
        <v>3</v>
      </c>
      <c r="G15" s="17" t="n">
        <v>1200</v>
      </c>
      <c r="H15" s="17">
        <f>F15*G15</f>
        <v/>
      </c>
      <c r="I15" s="3" t="inlineStr">
        <is>
          <t>Card</t>
        </is>
      </c>
      <c r="J15" s="3" t="inlineStr">
        <is>
          <t>Completed</t>
        </is>
      </c>
    </row>
    <row r="16">
      <c r="A16" s="16" t="n">
        <v>46309</v>
      </c>
      <c r="B16" s="3" t="inlineStr">
        <is>
          <t>ORD-1015</t>
        </is>
      </c>
      <c r="C16" s="3" t="inlineStr">
        <is>
          <t>Rahul</t>
        </is>
      </c>
      <c r="D16" s="3" t="inlineStr">
        <is>
          <t>Notebook</t>
        </is>
      </c>
      <c r="E16" s="3" t="inlineStr">
        <is>
          <t>Stationery</t>
        </is>
      </c>
      <c r="F16" s="3" t="n">
        <v>15</v>
      </c>
      <c r="G16" s="17" t="n">
        <v>45</v>
      </c>
      <c r="H16" s="17">
        <f>F16*G16</f>
        <v/>
      </c>
      <c r="I16" s="3" t="inlineStr">
        <is>
          <t>UPI</t>
        </is>
      </c>
      <c r="J16" s="3" t="inlineStr">
        <is>
          <t>Completed</t>
        </is>
      </c>
    </row>
    <row r="17">
      <c r="A17" s="16" t="n">
        <v>46310</v>
      </c>
      <c r="B17" s="3" t="inlineStr">
        <is>
          <t>ORD-1016</t>
        </is>
      </c>
      <c r="C17" s="3" t="inlineStr">
        <is>
          <t>Asha</t>
        </is>
      </c>
      <c r="D17" s="3" t="inlineStr">
        <is>
          <t>Desk Lamp</t>
        </is>
      </c>
      <c r="E17" s="3" t="inlineStr">
        <is>
          <t>Home</t>
        </is>
      </c>
      <c r="F17" s="3" t="n">
        <v>1</v>
      </c>
      <c r="G17" s="17" t="n">
        <v>650</v>
      </c>
      <c r="H17" s="17">
        <f>F17*G17</f>
        <v/>
      </c>
      <c r="I17" s="3" t="inlineStr">
        <is>
          <t>Cash</t>
        </is>
      </c>
      <c r="J17" s="3" t="inlineStr">
        <is>
          <t>Completed</t>
        </is>
      </c>
    </row>
    <row r="18">
      <c r="A18" s="16" t="n">
        <v>46311</v>
      </c>
      <c r="B18" s="3" t="inlineStr">
        <is>
          <t>ORD-1017</t>
        </is>
      </c>
      <c r="C18" s="3" t="inlineStr">
        <is>
          <t>Imran</t>
        </is>
      </c>
      <c r="D18" s="3" t="inlineStr">
        <is>
          <t>Pen Set</t>
        </is>
      </c>
      <c r="E18" s="3" t="inlineStr">
        <is>
          <t>Stationery</t>
        </is>
      </c>
      <c r="F18" s="3" t="n">
        <v>10</v>
      </c>
      <c r="G18" s="17" t="n">
        <v>80</v>
      </c>
      <c r="H18" s="17">
        <f>F18*G18</f>
        <v/>
      </c>
      <c r="I18" s="3" t="inlineStr">
        <is>
          <t>Card</t>
        </is>
      </c>
      <c r="J18" s="3" t="inlineStr">
        <is>
          <t>Completed</t>
        </is>
      </c>
    </row>
    <row r="19">
      <c r="A19" s="16" t="n">
        <v>46312</v>
      </c>
      <c r="B19" s="3" t="inlineStr">
        <is>
          <t>ORD-1018</t>
        </is>
      </c>
      <c r="C19" s="3" t="inlineStr">
        <is>
          <t>Meera</t>
        </is>
      </c>
      <c r="D19" s="3" t="inlineStr">
        <is>
          <t>Water Bottle</t>
        </is>
      </c>
      <c r="E19" s="3" t="inlineStr">
        <is>
          <t>Accessories</t>
        </is>
      </c>
      <c r="F19" s="3" t="n">
        <v>6</v>
      </c>
      <c r="G19" s="17" t="n">
        <v>250</v>
      </c>
      <c r="H19" s="17">
        <f>F19*G19</f>
        <v/>
      </c>
      <c r="I19" s="3" t="inlineStr">
        <is>
          <t>UPI</t>
        </is>
      </c>
      <c r="J19" s="3" t="inlineStr">
        <is>
          <t>Completed</t>
        </is>
      </c>
    </row>
    <row r="20">
      <c r="A20" s="16" t="n">
        <v>46313</v>
      </c>
      <c r="B20" s="3" t="inlineStr">
        <is>
          <t>ORD-1019</t>
        </is>
      </c>
      <c r="C20" s="3" t="inlineStr">
        <is>
          <t>Rahul</t>
        </is>
      </c>
      <c r="D20" s="3" t="inlineStr">
        <is>
          <t>Backpack</t>
        </is>
      </c>
      <c r="E20" s="3" t="inlineStr">
        <is>
          <t>Bags</t>
        </is>
      </c>
      <c r="F20" s="3" t="n">
        <v>2</v>
      </c>
      <c r="G20" s="17" t="n">
        <v>1200</v>
      </c>
      <c r="H20" s="17">
        <f>F20*G20</f>
        <v/>
      </c>
      <c r="I20" s="3" t="inlineStr">
        <is>
          <t>Cash</t>
        </is>
      </c>
      <c r="J20" s="3" t="inlineStr">
        <is>
          <t>Completed</t>
        </is>
      </c>
    </row>
    <row r="21">
      <c r="A21" s="16" t="n">
        <v>46314</v>
      </c>
      <c r="B21" s="3" t="inlineStr">
        <is>
          <t>ORD-1020</t>
        </is>
      </c>
      <c r="C21" s="3" t="inlineStr">
        <is>
          <t>Asha</t>
        </is>
      </c>
      <c r="D21" s="3" t="inlineStr">
        <is>
          <t>Notebook</t>
        </is>
      </c>
      <c r="E21" s="3" t="inlineStr">
        <is>
          <t>Stationery</t>
        </is>
      </c>
      <c r="F21" s="3" t="n">
        <v>25</v>
      </c>
      <c r="G21" s="17" t="n">
        <v>45</v>
      </c>
      <c r="H21" s="17">
        <f>F21*G21</f>
        <v/>
      </c>
      <c r="I21" s="3" t="inlineStr">
        <is>
          <t>Card</t>
        </is>
      </c>
      <c r="J21" s="3" t="inlineStr">
        <is>
          <t>Completed</t>
        </is>
      </c>
    </row>
    <row r="22">
      <c r="A22" s="16" t="n"/>
      <c r="B22" s="3" t="n"/>
      <c r="C22" s="3" t="n"/>
      <c r="D22" s="3" t="n"/>
      <c r="E22" s="3" t="n"/>
      <c r="F22" s="3" t="n"/>
      <c r="G22" s="17" t="n"/>
      <c r="H22" s="17">
        <f>IF(OR(F22="",G22=""),"",F22*G22)</f>
        <v/>
      </c>
      <c r="I22" s="3" t="n"/>
      <c r="J22" s="3" t="n"/>
    </row>
    <row r="23">
      <c r="A23" s="16" t="n"/>
      <c r="B23" s="3" t="n"/>
      <c r="C23" s="3" t="n"/>
      <c r="D23" s="3" t="n"/>
      <c r="E23" s="3" t="n"/>
      <c r="F23" s="3" t="n"/>
      <c r="G23" s="17" t="n"/>
      <c r="H23" s="17">
        <f>IF(OR(F23="",G23=""),"",F23*G23)</f>
        <v/>
      </c>
      <c r="I23" s="3" t="n"/>
      <c r="J23" s="3" t="n"/>
    </row>
    <row r="24">
      <c r="A24" s="16" t="n"/>
      <c r="B24" s="3" t="n"/>
      <c r="C24" s="3" t="n"/>
      <c r="D24" s="3" t="n"/>
      <c r="E24" s="3" t="n"/>
      <c r="F24" s="3" t="n"/>
      <c r="G24" s="17" t="n"/>
      <c r="H24" s="17">
        <f>IF(OR(F24="",G24=""),"",F24*G24)</f>
        <v/>
      </c>
      <c r="I24" s="3" t="n"/>
      <c r="J24" s="3" t="n"/>
    </row>
    <row r="25">
      <c r="A25" s="16" t="n"/>
      <c r="B25" s="3" t="n"/>
      <c r="C25" s="3" t="n"/>
      <c r="D25" s="3" t="n"/>
      <c r="E25" s="3" t="n"/>
      <c r="F25" s="3" t="n"/>
      <c r="G25" s="17" t="n"/>
      <c r="H25" s="17">
        <f>IF(OR(F25="",G25=""),"",F25*G25)</f>
        <v/>
      </c>
      <c r="I25" s="3" t="n"/>
      <c r="J25" s="3" t="n"/>
    </row>
    <row r="26">
      <c r="A26" s="16" t="n"/>
      <c r="B26" s="3" t="n"/>
      <c r="C26" s="3" t="n"/>
      <c r="D26" s="3" t="n"/>
      <c r="E26" s="3" t="n"/>
      <c r="F26" s="3" t="n"/>
      <c r="G26" s="17" t="n"/>
      <c r="H26" s="17">
        <f>IF(OR(F26="",G26=""),"",F26*G26)</f>
        <v/>
      </c>
      <c r="I26" s="3" t="n"/>
      <c r="J26" s="3" t="n"/>
    </row>
    <row r="27">
      <c r="A27" s="16" t="n"/>
      <c r="B27" s="3" t="n"/>
      <c r="C27" s="3" t="n"/>
      <c r="D27" s="3" t="n"/>
      <c r="E27" s="3" t="n"/>
      <c r="F27" s="3" t="n"/>
      <c r="G27" s="17" t="n"/>
      <c r="H27" s="17">
        <f>IF(OR(F27="",G27=""),"",F27*G27)</f>
        <v/>
      </c>
      <c r="I27" s="3" t="n"/>
      <c r="J27" s="3" t="n"/>
    </row>
    <row r="28">
      <c r="A28" s="16" t="n"/>
      <c r="B28" s="3" t="n"/>
      <c r="C28" s="3" t="n"/>
      <c r="D28" s="3" t="n"/>
      <c r="E28" s="3" t="n"/>
      <c r="F28" s="3" t="n"/>
      <c r="G28" s="17" t="n"/>
      <c r="H28" s="17">
        <f>IF(OR(F28="",G28=""),"",F28*G28)</f>
        <v/>
      </c>
      <c r="I28" s="3" t="n"/>
      <c r="J28" s="3" t="n"/>
    </row>
    <row r="29">
      <c r="A29" s="16" t="n"/>
      <c r="B29" s="3" t="n"/>
      <c r="C29" s="3" t="n"/>
      <c r="D29" s="3" t="n"/>
      <c r="E29" s="3" t="n"/>
      <c r="F29" s="3" t="n"/>
      <c r="G29" s="17" t="n"/>
      <c r="H29" s="17">
        <f>IF(OR(F29="",G29=""),"",F29*G29)</f>
        <v/>
      </c>
      <c r="I29" s="3" t="n"/>
      <c r="J29" s="3" t="n"/>
    </row>
    <row r="30">
      <c r="A30" s="16" t="n"/>
      <c r="B30" s="3" t="n"/>
      <c r="C30" s="3" t="n"/>
      <c r="D30" s="3" t="n"/>
      <c r="E30" s="3" t="n"/>
      <c r="F30" s="3" t="n"/>
      <c r="G30" s="17" t="n"/>
      <c r="H30" s="17">
        <f>IF(OR(F30="",G30=""),"",F30*G30)</f>
        <v/>
      </c>
      <c r="I30" s="3" t="n"/>
      <c r="J30" s="3" t="n"/>
    </row>
    <row r="31">
      <c r="A31" s="16" t="n"/>
      <c r="B31" s="3" t="n"/>
      <c r="C31" s="3" t="n"/>
      <c r="D31" s="3" t="n"/>
      <c r="E31" s="3" t="n"/>
      <c r="F31" s="3" t="n"/>
      <c r="G31" s="17" t="n"/>
      <c r="H31" s="17">
        <f>IF(OR(F31="",G31=""),"",F31*G31)</f>
        <v/>
      </c>
      <c r="I31" s="3" t="n"/>
      <c r="J31" s="3" t="n"/>
    </row>
    <row r="32">
      <c r="A32" s="16" t="n"/>
      <c r="B32" s="3" t="n"/>
      <c r="C32" s="3" t="n"/>
      <c r="D32" s="3" t="n"/>
      <c r="E32" s="3" t="n"/>
      <c r="F32" s="3" t="n"/>
      <c r="G32" s="17" t="n"/>
      <c r="H32" s="17">
        <f>IF(OR(F32="",G32=""),"",F32*G32)</f>
        <v/>
      </c>
      <c r="I32" s="3" t="n"/>
      <c r="J32" s="3" t="n"/>
    </row>
    <row r="33">
      <c r="A33" s="16" t="n"/>
      <c r="B33" s="3" t="n"/>
      <c r="C33" s="3" t="n"/>
      <c r="D33" s="3" t="n"/>
      <c r="E33" s="3" t="n"/>
      <c r="F33" s="3" t="n"/>
      <c r="G33" s="17" t="n"/>
      <c r="H33" s="17">
        <f>IF(OR(F33="",G33=""),"",F33*G33)</f>
        <v/>
      </c>
      <c r="I33" s="3" t="n"/>
      <c r="J33" s="3" t="n"/>
    </row>
    <row r="34">
      <c r="A34" s="16" t="n"/>
      <c r="B34" s="3" t="n"/>
      <c r="C34" s="3" t="n"/>
      <c r="D34" s="3" t="n"/>
      <c r="E34" s="3" t="n"/>
      <c r="F34" s="3" t="n"/>
      <c r="G34" s="17" t="n"/>
      <c r="H34" s="17">
        <f>IF(OR(F34="",G34=""),"",F34*G34)</f>
        <v/>
      </c>
      <c r="I34" s="3" t="n"/>
      <c r="J34" s="3" t="n"/>
    </row>
    <row r="35">
      <c r="A35" s="16" t="n"/>
      <c r="B35" s="3" t="n"/>
      <c r="C35" s="3" t="n"/>
      <c r="D35" s="3" t="n"/>
      <c r="E35" s="3" t="n"/>
      <c r="F35" s="3" t="n"/>
      <c r="G35" s="17" t="n"/>
      <c r="H35" s="17">
        <f>IF(OR(F35="",G35=""),"",F35*G35)</f>
        <v/>
      </c>
      <c r="I35" s="3" t="n"/>
      <c r="J35" s="3" t="n"/>
    </row>
    <row r="36">
      <c r="A36" s="16" t="n"/>
      <c r="B36" s="3" t="n"/>
      <c r="C36" s="3" t="n"/>
      <c r="D36" s="3" t="n"/>
      <c r="E36" s="3" t="n"/>
      <c r="F36" s="3" t="n"/>
      <c r="G36" s="17" t="n"/>
      <c r="H36" s="17">
        <f>IF(OR(F36="",G36=""),"",F36*G36)</f>
        <v/>
      </c>
      <c r="I36" s="3" t="n"/>
      <c r="J36" s="3" t="n"/>
    </row>
    <row r="37">
      <c r="A37" s="16" t="n"/>
      <c r="B37" s="3" t="n"/>
      <c r="C37" s="3" t="n"/>
      <c r="D37" s="3" t="n"/>
      <c r="E37" s="3" t="n"/>
      <c r="F37" s="3" t="n"/>
      <c r="G37" s="17" t="n"/>
      <c r="H37" s="17">
        <f>IF(OR(F37="",G37=""),"",F37*G37)</f>
        <v/>
      </c>
      <c r="I37" s="3" t="n"/>
      <c r="J37" s="3" t="n"/>
    </row>
    <row r="38">
      <c r="A38" s="16" t="n"/>
      <c r="B38" s="3" t="n"/>
      <c r="C38" s="3" t="n"/>
      <c r="D38" s="3" t="n"/>
      <c r="E38" s="3" t="n"/>
      <c r="F38" s="3" t="n"/>
      <c r="G38" s="17" t="n"/>
      <c r="H38" s="17">
        <f>IF(OR(F38="",G38=""),"",F38*G38)</f>
        <v/>
      </c>
      <c r="I38" s="3" t="n"/>
      <c r="J38" s="3" t="n"/>
    </row>
    <row r="39">
      <c r="A39" s="16" t="n"/>
      <c r="B39" s="3" t="n"/>
      <c r="C39" s="3" t="n"/>
      <c r="D39" s="3" t="n"/>
      <c r="E39" s="3" t="n"/>
      <c r="F39" s="3" t="n"/>
      <c r="G39" s="17" t="n"/>
      <c r="H39" s="17">
        <f>IF(OR(F39="",G39=""),"",F39*G39)</f>
        <v/>
      </c>
      <c r="I39" s="3" t="n"/>
      <c r="J39" s="3" t="n"/>
    </row>
    <row r="40">
      <c r="A40" s="16" t="n"/>
      <c r="B40" s="3" t="n"/>
      <c r="C40" s="3" t="n"/>
      <c r="D40" s="3" t="n"/>
      <c r="E40" s="3" t="n"/>
      <c r="F40" s="3" t="n"/>
      <c r="G40" s="17" t="n"/>
      <c r="H40" s="17">
        <f>IF(OR(F40="",G40=""),"",F40*G40)</f>
        <v/>
      </c>
      <c r="I40" s="3" t="n"/>
      <c r="J40" s="3" t="n"/>
    </row>
    <row r="41">
      <c r="A41" s="16" t="n"/>
      <c r="B41" s="3" t="n"/>
      <c r="C41" s="3" t="n"/>
      <c r="D41" s="3" t="n"/>
      <c r="E41" s="3" t="n"/>
      <c r="F41" s="3" t="n"/>
      <c r="G41" s="17" t="n"/>
      <c r="H41" s="17">
        <f>IF(OR(F41="",G41=""),"",F41*G41)</f>
        <v/>
      </c>
      <c r="I41" s="3" t="n"/>
      <c r="J41" s="3" t="n"/>
    </row>
    <row r="42">
      <c r="A42" s="16" t="n"/>
      <c r="B42" s="3" t="n"/>
      <c r="C42" s="3" t="n"/>
      <c r="D42" s="3" t="n"/>
      <c r="E42" s="3" t="n"/>
      <c r="F42" s="3" t="n"/>
      <c r="G42" s="17" t="n"/>
      <c r="H42" s="17">
        <f>IF(OR(F42="",G42=""),"",F42*G42)</f>
        <v/>
      </c>
      <c r="I42" s="3" t="n"/>
      <c r="J42" s="3" t="n"/>
    </row>
    <row r="43">
      <c r="A43" s="16" t="n"/>
      <c r="B43" s="3" t="n"/>
      <c r="C43" s="3" t="n"/>
      <c r="D43" s="3" t="n"/>
      <c r="E43" s="3" t="n"/>
      <c r="F43" s="3" t="n"/>
      <c r="G43" s="17" t="n"/>
      <c r="H43" s="17">
        <f>IF(OR(F43="",G43=""),"",F43*G43)</f>
        <v/>
      </c>
      <c r="I43" s="3" t="n"/>
      <c r="J43" s="3" t="n"/>
    </row>
    <row r="44">
      <c r="A44" s="16" t="n"/>
      <c r="B44" s="3" t="n"/>
      <c r="C44" s="3" t="n"/>
      <c r="D44" s="3" t="n"/>
      <c r="E44" s="3" t="n"/>
      <c r="F44" s="3" t="n"/>
      <c r="G44" s="17" t="n"/>
      <c r="H44" s="17">
        <f>IF(OR(F44="",G44=""),"",F44*G44)</f>
        <v/>
      </c>
      <c r="I44" s="3" t="n"/>
      <c r="J44" s="3" t="n"/>
    </row>
    <row r="45">
      <c r="A45" s="16" t="n"/>
      <c r="B45" s="3" t="n"/>
      <c r="C45" s="3" t="n"/>
      <c r="D45" s="3" t="n"/>
      <c r="E45" s="3" t="n"/>
      <c r="F45" s="3" t="n"/>
      <c r="G45" s="17" t="n"/>
      <c r="H45" s="17">
        <f>IF(OR(F45="",G45=""),"",F45*G45)</f>
        <v/>
      </c>
      <c r="I45" s="3" t="n"/>
      <c r="J45" s="3" t="n"/>
    </row>
    <row r="46">
      <c r="A46" s="16" t="n"/>
      <c r="B46" s="3" t="n"/>
      <c r="C46" s="3" t="n"/>
      <c r="D46" s="3" t="n"/>
      <c r="E46" s="3" t="n"/>
      <c r="F46" s="3" t="n"/>
      <c r="G46" s="17" t="n"/>
      <c r="H46" s="17">
        <f>IF(OR(F46="",G46=""),"",F46*G46)</f>
        <v/>
      </c>
      <c r="I46" s="3" t="n"/>
      <c r="J46" s="3" t="n"/>
    </row>
    <row r="47">
      <c r="A47" s="16" t="n"/>
      <c r="B47" s="3" t="n"/>
      <c r="C47" s="3" t="n"/>
      <c r="D47" s="3" t="n"/>
      <c r="E47" s="3" t="n"/>
      <c r="F47" s="3" t="n"/>
      <c r="G47" s="17" t="n"/>
      <c r="H47" s="17">
        <f>IF(OR(F47="",G47=""),"",F47*G47)</f>
        <v/>
      </c>
      <c r="I47" s="3" t="n"/>
      <c r="J47" s="3" t="n"/>
    </row>
    <row r="48">
      <c r="A48" s="16" t="n"/>
      <c r="B48" s="3" t="n"/>
      <c r="C48" s="3" t="n"/>
      <c r="D48" s="3" t="n"/>
      <c r="E48" s="3" t="n"/>
      <c r="F48" s="3" t="n"/>
      <c r="G48" s="17" t="n"/>
      <c r="H48" s="17">
        <f>IF(OR(F48="",G48=""),"",F48*G48)</f>
        <v/>
      </c>
      <c r="I48" s="3" t="n"/>
      <c r="J48" s="3" t="n"/>
    </row>
    <row r="49">
      <c r="A49" s="16" t="n"/>
      <c r="B49" s="3" t="n"/>
      <c r="C49" s="3" t="n"/>
      <c r="D49" s="3" t="n"/>
      <c r="E49" s="3" t="n"/>
      <c r="F49" s="3" t="n"/>
      <c r="G49" s="17" t="n"/>
      <c r="H49" s="17">
        <f>IF(OR(F49="",G49=""),"",F49*G49)</f>
        <v/>
      </c>
      <c r="I49" s="3" t="n"/>
      <c r="J49" s="3" t="n"/>
    </row>
    <row r="50">
      <c r="A50" s="16" t="n"/>
      <c r="B50" s="3" t="n"/>
      <c r="C50" s="3" t="n"/>
      <c r="D50" s="3" t="n"/>
      <c r="E50" s="3" t="n"/>
      <c r="F50" s="3" t="n"/>
      <c r="G50" s="17" t="n"/>
      <c r="H50" s="17">
        <f>IF(OR(F50="",G50=""),"",F50*G50)</f>
        <v/>
      </c>
      <c r="I50" s="3" t="n"/>
      <c r="J50" s="3" t="n"/>
    </row>
    <row r="51">
      <c r="A51" s="16" t="n"/>
      <c r="B51" s="3" t="n"/>
      <c r="C51" s="3" t="n"/>
      <c r="D51" s="3" t="n"/>
      <c r="E51" s="3" t="n"/>
      <c r="F51" s="3" t="n"/>
      <c r="G51" s="17" t="n"/>
      <c r="H51" s="17">
        <f>IF(OR(F51="",G51=""),"",F51*G51)</f>
        <v/>
      </c>
      <c r="I51" s="3" t="n"/>
      <c r="J51" s="3" t="n"/>
    </row>
  </sheetData>
  <autoFilter ref="A1:J51"/>
  <dataValidations count="6">
    <dataValidation sqref="F2:F51" showDropDown="0" showInputMessage="0" showErrorMessage="0" allowBlank="1" errorTitle="Invalid units" error="Enter a whole number greater than zero." prompt="Enter units sold as a positive whole number." type="whole" operator="greaterThan">
      <formula1>0</formula1>
    </dataValidation>
    <dataValidation sqref="G2:G51" showDropDown="0" showInputMessage="0" showErrorMessage="0" allowBlank="1" error="Unit price must be zero or more." type="decimal" operator="greaterThanOrEqual">
      <formula1>0</formula1>
    </dataValidation>
    <dataValidation sqref="C2:C51" showDropDown="0" showInputMessage="0" showErrorMessage="0" allowBlank="1" error="Select a value from the dropdown list." type="list">
      <formula1>"Asha,Rahul,Meera,Imran"</formula1>
    </dataValidation>
    <dataValidation sqref="E2:E51" showDropDown="0" showInputMessage="0" showErrorMessage="0" allowBlank="1" error="Select a value from the dropdown list." type="list">
      <formula1>"Stationery,Accessories,Bags,Home"</formula1>
    </dataValidation>
    <dataValidation sqref="I2:I51" showDropDown="0" showInputMessage="0" showErrorMessage="0" allowBlank="1" error="Select a value from the dropdown list." type="list">
      <formula1>"UPI,Card,Cash,Net Banking"</formula1>
    </dataValidation>
    <dataValidation sqref="J2:J51" showDropDown="0" showInputMessage="0" showErrorMessage="0" allowBlank="1" error="Select a value from the dropdown list." type="list">
      <formula1>"Completed,Pending,Returned"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23" customWidth="1" min="1" max="1"/>
    <col width="23" customWidth="1" min="2" max="2"/>
    <col width="20" customWidth="1" min="3" max="3"/>
    <col width="20" customWidth="1" min="4" max="4"/>
    <col width="16" customWidth="1" min="5" max="5"/>
  </cols>
  <sheetData>
    <row r="1">
      <c r="A1" s="5" t="inlineStr">
        <is>
          <t>SALES TRACKER — SUMMARY</t>
        </is>
      </c>
    </row>
    <row r="2">
      <c r="A2" s="6" t="inlineStr">
        <is>
          <t>Sample reporting period: October 2026 | Update dates below as needed</t>
        </is>
      </c>
    </row>
    <row r="4">
      <c r="A4" s="7" t="inlineStr">
        <is>
          <t>Daily totals</t>
        </is>
      </c>
    </row>
    <row r="5">
      <c r="A5" s="8" t="inlineStr">
        <is>
          <t>Date</t>
        </is>
      </c>
      <c r="B5" s="8" t="inlineStr">
        <is>
          <t>Total Sales</t>
        </is>
      </c>
      <c r="C5" s="8" t="inlineStr">
        <is>
          <t>Completed Sales</t>
        </is>
      </c>
      <c r="D5" s="8" t="inlineStr">
        <is>
          <t>Order Count</t>
        </is>
      </c>
    </row>
    <row r="6">
      <c r="A6" s="18" t="n">
        <v>46296</v>
      </c>
      <c r="B6" s="19">
        <f>SUMIFS('Raw Sales'!$H$2:$H$51,'Raw Sales'!$A$2:$A$51,A6)</f>
        <v/>
      </c>
      <c r="C6" s="19">
        <f>SUMIFS('Raw Sales'!$H$2:$H$51,'Raw Sales'!$A$2:$A$51,A6,'Raw Sales'!$J$2:$J$51,"Completed")</f>
        <v/>
      </c>
      <c r="D6" s="11">
        <f>COUNTIFS('Raw Sales'!$A$2:$A$51,A6,'Raw Sales'!$B$2:$B$51,"&lt;&gt;")</f>
        <v/>
      </c>
    </row>
    <row r="7">
      <c r="A7" s="18" t="n">
        <v>46297</v>
      </c>
      <c r="B7" s="19">
        <f>SUMIFS('Raw Sales'!$H$2:$H$51,'Raw Sales'!$A$2:$A$51,A7)</f>
        <v/>
      </c>
      <c r="C7" s="19">
        <f>SUMIFS('Raw Sales'!$H$2:$H$51,'Raw Sales'!$A$2:$A$51,A7,'Raw Sales'!$J$2:$J$51,"Completed")</f>
        <v/>
      </c>
      <c r="D7" s="11">
        <f>COUNTIFS('Raw Sales'!$A$2:$A$51,A7,'Raw Sales'!$B$2:$B$51,"&lt;&gt;")</f>
        <v/>
      </c>
    </row>
    <row r="8">
      <c r="A8" s="18" t="n">
        <v>46298</v>
      </c>
      <c r="B8" s="19">
        <f>SUMIFS('Raw Sales'!$H$2:$H$51,'Raw Sales'!$A$2:$A$51,A8)</f>
        <v/>
      </c>
      <c r="C8" s="19">
        <f>SUMIFS('Raw Sales'!$H$2:$H$51,'Raw Sales'!$A$2:$A$51,A8,'Raw Sales'!$J$2:$J$51,"Completed")</f>
        <v/>
      </c>
      <c r="D8" s="11">
        <f>COUNTIFS('Raw Sales'!$A$2:$A$51,A8,'Raw Sales'!$B$2:$B$51,"&lt;&gt;")</f>
        <v/>
      </c>
    </row>
    <row r="9">
      <c r="A9" s="18" t="n">
        <v>46299</v>
      </c>
      <c r="B9" s="19">
        <f>SUMIFS('Raw Sales'!$H$2:$H$51,'Raw Sales'!$A$2:$A$51,A9)</f>
        <v/>
      </c>
      <c r="C9" s="19">
        <f>SUMIFS('Raw Sales'!$H$2:$H$51,'Raw Sales'!$A$2:$A$51,A9,'Raw Sales'!$J$2:$J$51,"Completed")</f>
        <v/>
      </c>
      <c r="D9" s="11">
        <f>COUNTIFS('Raw Sales'!$A$2:$A$51,A9,'Raw Sales'!$B$2:$B$51,"&lt;&gt;")</f>
        <v/>
      </c>
    </row>
    <row r="10">
      <c r="A10" s="18" t="n">
        <v>46300</v>
      </c>
      <c r="B10" s="19">
        <f>SUMIFS('Raw Sales'!$H$2:$H$51,'Raw Sales'!$A$2:$A$51,A10)</f>
        <v/>
      </c>
      <c r="C10" s="19">
        <f>SUMIFS('Raw Sales'!$H$2:$H$51,'Raw Sales'!$A$2:$A$51,A10,'Raw Sales'!$J$2:$J$51,"Completed")</f>
        <v/>
      </c>
      <c r="D10" s="11">
        <f>COUNTIFS('Raw Sales'!$A$2:$A$51,A10,'Raw Sales'!$B$2:$B$51,"&lt;&gt;")</f>
        <v/>
      </c>
    </row>
    <row r="11">
      <c r="A11" s="18" t="n">
        <v>46301</v>
      </c>
      <c r="B11" s="19">
        <f>SUMIFS('Raw Sales'!$H$2:$H$51,'Raw Sales'!$A$2:$A$51,A11)</f>
        <v/>
      </c>
      <c r="C11" s="19">
        <f>SUMIFS('Raw Sales'!$H$2:$H$51,'Raw Sales'!$A$2:$A$51,A11,'Raw Sales'!$J$2:$J$51,"Completed")</f>
        <v/>
      </c>
      <c r="D11" s="11">
        <f>COUNTIFS('Raw Sales'!$A$2:$A$51,A11,'Raw Sales'!$B$2:$B$51,"&lt;&gt;")</f>
        <v/>
      </c>
    </row>
    <row r="12">
      <c r="A12" s="18" t="n">
        <v>46302</v>
      </c>
      <c r="B12" s="19">
        <f>SUMIFS('Raw Sales'!$H$2:$H$51,'Raw Sales'!$A$2:$A$51,A12)</f>
        <v/>
      </c>
      <c r="C12" s="19">
        <f>SUMIFS('Raw Sales'!$H$2:$H$51,'Raw Sales'!$A$2:$A$51,A12,'Raw Sales'!$J$2:$J$51,"Completed")</f>
        <v/>
      </c>
      <c r="D12" s="11">
        <f>COUNTIFS('Raw Sales'!$A$2:$A$51,A12,'Raw Sales'!$B$2:$B$51,"&lt;&gt;")</f>
        <v/>
      </c>
    </row>
    <row r="13">
      <c r="A13" s="18" t="n">
        <v>46303</v>
      </c>
      <c r="B13" s="19">
        <f>SUMIFS('Raw Sales'!$H$2:$H$51,'Raw Sales'!$A$2:$A$51,A13)</f>
        <v/>
      </c>
      <c r="C13" s="19">
        <f>SUMIFS('Raw Sales'!$H$2:$H$51,'Raw Sales'!$A$2:$A$51,A13,'Raw Sales'!$J$2:$J$51,"Completed")</f>
        <v/>
      </c>
      <c r="D13" s="11">
        <f>COUNTIFS('Raw Sales'!$A$2:$A$51,A13,'Raw Sales'!$B$2:$B$51,"&lt;&gt;")</f>
        <v/>
      </c>
    </row>
    <row r="14">
      <c r="A14" s="18" t="n">
        <v>46304</v>
      </c>
      <c r="B14" s="19">
        <f>SUMIFS('Raw Sales'!$H$2:$H$51,'Raw Sales'!$A$2:$A$51,A14)</f>
        <v/>
      </c>
      <c r="C14" s="19">
        <f>SUMIFS('Raw Sales'!$H$2:$H$51,'Raw Sales'!$A$2:$A$51,A14,'Raw Sales'!$J$2:$J$51,"Completed")</f>
        <v/>
      </c>
      <c r="D14" s="11">
        <f>COUNTIFS('Raw Sales'!$A$2:$A$51,A14,'Raw Sales'!$B$2:$B$51,"&lt;&gt;")</f>
        <v/>
      </c>
    </row>
    <row r="15">
      <c r="A15" s="18" t="n">
        <v>46305</v>
      </c>
      <c r="B15" s="19">
        <f>SUMIFS('Raw Sales'!$H$2:$H$51,'Raw Sales'!$A$2:$A$51,A15)</f>
        <v/>
      </c>
      <c r="C15" s="19">
        <f>SUMIFS('Raw Sales'!$H$2:$H$51,'Raw Sales'!$A$2:$A$51,A15,'Raw Sales'!$J$2:$J$51,"Completed")</f>
        <v/>
      </c>
      <c r="D15" s="11">
        <f>COUNTIFS('Raw Sales'!$A$2:$A$51,A15,'Raw Sales'!$B$2:$B$51,"&lt;&gt;")</f>
        <v/>
      </c>
    </row>
    <row r="16">
      <c r="A16" s="18" t="n">
        <v>46306</v>
      </c>
      <c r="B16" s="19">
        <f>SUMIFS('Raw Sales'!$H$2:$H$51,'Raw Sales'!$A$2:$A$51,A16)</f>
        <v/>
      </c>
      <c r="C16" s="19">
        <f>SUMIFS('Raw Sales'!$H$2:$H$51,'Raw Sales'!$A$2:$A$51,A16,'Raw Sales'!$J$2:$J$51,"Completed")</f>
        <v/>
      </c>
      <c r="D16" s="11">
        <f>COUNTIFS('Raw Sales'!$A$2:$A$51,A16,'Raw Sales'!$B$2:$B$51,"&lt;&gt;")</f>
        <v/>
      </c>
    </row>
    <row r="17">
      <c r="A17" s="18" t="n">
        <v>46307</v>
      </c>
      <c r="B17" s="19">
        <f>SUMIFS('Raw Sales'!$H$2:$H$51,'Raw Sales'!$A$2:$A$51,A17)</f>
        <v/>
      </c>
      <c r="C17" s="19">
        <f>SUMIFS('Raw Sales'!$H$2:$H$51,'Raw Sales'!$A$2:$A$51,A17,'Raw Sales'!$J$2:$J$51,"Completed")</f>
        <v/>
      </c>
      <c r="D17" s="11">
        <f>COUNTIFS('Raw Sales'!$A$2:$A$51,A17,'Raw Sales'!$B$2:$B$51,"&lt;&gt;")</f>
        <v/>
      </c>
    </row>
    <row r="18">
      <c r="A18" s="18" t="n">
        <v>46308</v>
      </c>
      <c r="B18" s="19">
        <f>SUMIFS('Raw Sales'!$H$2:$H$51,'Raw Sales'!$A$2:$A$51,A18)</f>
        <v/>
      </c>
      <c r="C18" s="19">
        <f>SUMIFS('Raw Sales'!$H$2:$H$51,'Raw Sales'!$A$2:$A$51,A18,'Raw Sales'!$J$2:$J$51,"Completed")</f>
        <v/>
      </c>
      <c r="D18" s="11">
        <f>COUNTIFS('Raw Sales'!$A$2:$A$51,A18,'Raw Sales'!$B$2:$B$51,"&lt;&gt;")</f>
        <v/>
      </c>
    </row>
    <row r="19">
      <c r="A19" s="18" t="n">
        <v>46309</v>
      </c>
      <c r="B19" s="19">
        <f>SUMIFS('Raw Sales'!$H$2:$H$51,'Raw Sales'!$A$2:$A$51,A19)</f>
        <v/>
      </c>
      <c r="C19" s="19">
        <f>SUMIFS('Raw Sales'!$H$2:$H$51,'Raw Sales'!$A$2:$A$51,A19,'Raw Sales'!$J$2:$J$51,"Completed")</f>
        <v/>
      </c>
      <c r="D19" s="11">
        <f>COUNTIFS('Raw Sales'!$A$2:$A$51,A19,'Raw Sales'!$B$2:$B$51,"&lt;&gt;")</f>
        <v/>
      </c>
    </row>
    <row r="20">
      <c r="A20" s="18" t="n">
        <v>46310</v>
      </c>
      <c r="B20" s="19">
        <f>SUMIFS('Raw Sales'!$H$2:$H$51,'Raw Sales'!$A$2:$A$51,A20)</f>
        <v/>
      </c>
      <c r="C20" s="19">
        <f>SUMIFS('Raw Sales'!$H$2:$H$51,'Raw Sales'!$A$2:$A$51,A20,'Raw Sales'!$J$2:$J$51,"Completed")</f>
        <v/>
      </c>
      <c r="D20" s="11">
        <f>COUNTIFS('Raw Sales'!$A$2:$A$51,A20,'Raw Sales'!$B$2:$B$51,"&lt;&gt;")</f>
        <v/>
      </c>
    </row>
    <row r="21">
      <c r="A21" s="18" t="n">
        <v>46311</v>
      </c>
      <c r="B21" s="19">
        <f>SUMIFS('Raw Sales'!$H$2:$H$51,'Raw Sales'!$A$2:$A$51,A21)</f>
        <v/>
      </c>
      <c r="C21" s="19">
        <f>SUMIFS('Raw Sales'!$H$2:$H$51,'Raw Sales'!$A$2:$A$51,A21,'Raw Sales'!$J$2:$J$51,"Completed")</f>
        <v/>
      </c>
      <c r="D21" s="11">
        <f>COUNTIFS('Raw Sales'!$A$2:$A$51,A21,'Raw Sales'!$B$2:$B$51,"&lt;&gt;")</f>
        <v/>
      </c>
    </row>
    <row r="22">
      <c r="A22" s="18" t="n">
        <v>46312</v>
      </c>
      <c r="B22" s="19">
        <f>SUMIFS('Raw Sales'!$H$2:$H$51,'Raw Sales'!$A$2:$A$51,A22)</f>
        <v/>
      </c>
      <c r="C22" s="19">
        <f>SUMIFS('Raw Sales'!$H$2:$H$51,'Raw Sales'!$A$2:$A$51,A22,'Raw Sales'!$J$2:$J$51,"Completed")</f>
        <v/>
      </c>
      <c r="D22" s="11">
        <f>COUNTIFS('Raw Sales'!$A$2:$A$51,A22,'Raw Sales'!$B$2:$B$51,"&lt;&gt;")</f>
        <v/>
      </c>
    </row>
    <row r="23">
      <c r="A23" s="18" t="n">
        <v>46313</v>
      </c>
      <c r="B23" s="19">
        <f>SUMIFS('Raw Sales'!$H$2:$H$51,'Raw Sales'!$A$2:$A$51,A23)</f>
        <v/>
      </c>
      <c r="C23" s="19">
        <f>SUMIFS('Raw Sales'!$H$2:$H$51,'Raw Sales'!$A$2:$A$51,A23,'Raw Sales'!$J$2:$J$51,"Completed")</f>
        <v/>
      </c>
      <c r="D23" s="11">
        <f>COUNTIFS('Raw Sales'!$A$2:$A$51,A23,'Raw Sales'!$B$2:$B$51,"&lt;&gt;")</f>
        <v/>
      </c>
    </row>
    <row r="24">
      <c r="A24" s="18" t="n">
        <v>46314</v>
      </c>
      <c r="B24" s="19">
        <f>SUMIFS('Raw Sales'!$H$2:$H$51,'Raw Sales'!$A$2:$A$51,A24)</f>
        <v/>
      </c>
      <c r="C24" s="19">
        <f>SUMIFS('Raw Sales'!$H$2:$H$51,'Raw Sales'!$A$2:$A$51,A24,'Raw Sales'!$J$2:$J$51,"Completed")</f>
        <v/>
      </c>
      <c r="D24" s="11">
        <f>COUNTIFS('Raw Sales'!$A$2:$A$51,A24,'Raw Sales'!$B$2:$B$51,"&lt;&gt;")</f>
        <v/>
      </c>
    </row>
    <row r="25">
      <c r="A25" s="18" t="n">
        <v>46315</v>
      </c>
      <c r="B25" s="19">
        <f>SUMIFS('Raw Sales'!$H$2:$H$51,'Raw Sales'!$A$2:$A$51,A25)</f>
        <v/>
      </c>
      <c r="C25" s="19">
        <f>SUMIFS('Raw Sales'!$H$2:$H$51,'Raw Sales'!$A$2:$A$51,A25,'Raw Sales'!$J$2:$J$51,"Completed")</f>
        <v/>
      </c>
      <c r="D25" s="11">
        <f>COUNTIFS('Raw Sales'!$A$2:$A$51,A25,'Raw Sales'!$B$2:$B$51,"&lt;&gt;")</f>
        <v/>
      </c>
    </row>
    <row r="26">
      <c r="A26" s="18" t="n">
        <v>46316</v>
      </c>
      <c r="B26" s="19">
        <f>SUMIFS('Raw Sales'!$H$2:$H$51,'Raw Sales'!$A$2:$A$51,A26)</f>
        <v/>
      </c>
      <c r="C26" s="19">
        <f>SUMIFS('Raw Sales'!$H$2:$H$51,'Raw Sales'!$A$2:$A$51,A26,'Raw Sales'!$J$2:$J$51,"Completed")</f>
        <v/>
      </c>
      <c r="D26" s="11">
        <f>COUNTIFS('Raw Sales'!$A$2:$A$51,A26,'Raw Sales'!$B$2:$B$51,"&lt;&gt;")</f>
        <v/>
      </c>
    </row>
    <row r="27">
      <c r="A27" s="18" t="n">
        <v>46317</v>
      </c>
      <c r="B27" s="19">
        <f>SUMIFS('Raw Sales'!$H$2:$H$51,'Raw Sales'!$A$2:$A$51,A27)</f>
        <v/>
      </c>
      <c r="C27" s="19">
        <f>SUMIFS('Raw Sales'!$H$2:$H$51,'Raw Sales'!$A$2:$A$51,A27,'Raw Sales'!$J$2:$J$51,"Completed")</f>
        <v/>
      </c>
      <c r="D27" s="11">
        <f>COUNTIFS('Raw Sales'!$A$2:$A$51,A27,'Raw Sales'!$B$2:$B$51,"&lt;&gt;")</f>
        <v/>
      </c>
    </row>
    <row r="28">
      <c r="A28" s="18" t="n">
        <v>46318</v>
      </c>
      <c r="B28" s="19">
        <f>SUMIFS('Raw Sales'!$H$2:$H$51,'Raw Sales'!$A$2:$A$51,A28)</f>
        <v/>
      </c>
      <c r="C28" s="19">
        <f>SUMIFS('Raw Sales'!$H$2:$H$51,'Raw Sales'!$A$2:$A$51,A28,'Raw Sales'!$J$2:$J$51,"Completed")</f>
        <v/>
      </c>
      <c r="D28" s="11">
        <f>COUNTIFS('Raw Sales'!$A$2:$A$51,A28,'Raw Sales'!$B$2:$B$51,"&lt;&gt;")</f>
        <v/>
      </c>
    </row>
    <row r="29">
      <c r="A29" s="18" t="n">
        <v>46319</v>
      </c>
      <c r="B29" s="19">
        <f>SUMIFS('Raw Sales'!$H$2:$H$51,'Raw Sales'!$A$2:$A$51,A29)</f>
        <v/>
      </c>
      <c r="C29" s="19">
        <f>SUMIFS('Raw Sales'!$H$2:$H$51,'Raw Sales'!$A$2:$A$51,A29,'Raw Sales'!$J$2:$J$51,"Completed")</f>
        <v/>
      </c>
      <c r="D29" s="11">
        <f>COUNTIFS('Raw Sales'!$A$2:$A$51,A29,'Raw Sales'!$B$2:$B$51,"&lt;&gt;")</f>
        <v/>
      </c>
    </row>
    <row r="30">
      <c r="A30" s="18" t="n">
        <v>46320</v>
      </c>
      <c r="B30" s="19">
        <f>SUMIFS('Raw Sales'!$H$2:$H$51,'Raw Sales'!$A$2:$A$51,A30)</f>
        <v/>
      </c>
      <c r="C30" s="19">
        <f>SUMIFS('Raw Sales'!$H$2:$H$51,'Raw Sales'!$A$2:$A$51,A30,'Raw Sales'!$J$2:$J$51,"Completed")</f>
        <v/>
      </c>
      <c r="D30" s="11">
        <f>COUNTIFS('Raw Sales'!$A$2:$A$51,A30,'Raw Sales'!$B$2:$B$51,"&lt;&gt;")</f>
        <v/>
      </c>
    </row>
    <row r="31">
      <c r="A31" s="18" t="n">
        <v>46321</v>
      </c>
      <c r="B31" s="19">
        <f>SUMIFS('Raw Sales'!$H$2:$H$51,'Raw Sales'!$A$2:$A$51,A31)</f>
        <v/>
      </c>
      <c r="C31" s="19">
        <f>SUMIFS('Raw Sales'!$H$2:$H$51,'Raw Sales'!$A$2:$A$51,A31,'Raw Sales'!$J$2:$J$51,"Completed")</f>
        <v/>
      </c>
      <c r="D31" s="11">
        <f>COUNTIFS('Raw Sales'!$A$2:$A$51,A31,'Raw Sales'!$B$2:$B$51,"&lt;&gt;")</f>
        <v/>
      </c>
    </row>
    <row r="32">
      <c r="A32" s="18" t="n">
        <v>46322</v>
      </c>
      <c r="B32" s="19">
        <f>SUMIFS('Raw Sales'!$H$2:$H$51,'Raw Sales'!$A$2:$A$51,A32)</f>
        <v/>
      </c>
      <c r="C32" s="19">
        <f>SUMIFS('Raw Sales'!$H$2:$H$51,'Raw Sales'!$A$2:$A$51,A32,'Raw Sales'!$J$2:$J$51,"Completed")</f>
        <v/>
      </c>
      <c r="D32" s="11">
        <f>COUNTIFS('Raw Sales'!$A$2:$A$51,A32,'Raw Sales'!$B$2:$B$51,"&lt;&gt;")</f>
        <v/>
      </c>
    </row>
    <row r="33">
      <c r="A33" s="18" t="n">
        <v>46323</v>
      </c>
      <c r="B33" s="19">
        <f>SUMIFS('Raw Sales'!$H$2:$H$51,'Raw Sales'!$A$2:$A$51,A33)</f>
        <v/>
      </c>
      <c r="C33" s="19">
        <f>SUMIFS('Raw Sales'!$H$2:$H$51,'Raw Sales'!$A$2:$A$51,A33,'Raw Sales'!$J$2:$J$51,"Completed")</f>
        <v/>
      </c>
      <c r="D33" s="11">
        <f>COUNTIFS('Raw Sales'!$A$2:$A$51,A33,'Raw Sales'!$B$2:$B$51,"&lt;&gt;")</f>
        <v/>
      </c>
    </row>
    <row r="34">
      <c r="A34" s="18" t="n">
        <v>46324</v>
      </c>
      <c r="B34" s="19">
        <f>SUMIFS('Raw Sales'!$H$2:$H$51,'Raw Sales'!$A$2:$A$51,A34)</f>
        <v/>
      </c>
      <c r="C34" s="19">
        <f>SUMIFS('Raw Sales'!$H$2:$H$51,'Raw Sales'!$A$2:$A$51,A34,'Raw Sales'!$J$2:$J$51,"Completed")</f>
        <v/>
      </c>
      <c r="D34" s="11">
        <f>COUNTIFS('Raw Sales'!$A$2:$A$51,A34,'Raw Sales'!$B$2:$B$51,"&lt;&gt;")</f>
        <v/>
      </c>
    </row>
    <row r="35">
      <c r="A35" s="18" t="n">
        <v>46325</v>
      </c>
      <c r="B35" s="19">
        <f>SUMIFS('Raw Sales'!$H$2:$H$51,'Raw Sales'!$A$2:$A$51,A35)</f>
        <v/>
      </c>
      <c r="C35" s="19">
        <f>SUMIFS('Raw Sales'!$H$2:$H$51,'Raw Sales'!$A$2:$A$51,A35,'Raw Sales'!$J$2:$J$51,"Completed")</f>
        <v/>
      </c>
      <c r="D35" s="11">
        <f>COUNTIFS('Raw Sales'!$A$2:$A$51,A35,'Raw Sales'!$B$2:$B$51,"&lt;&gt;")</f>
        <v/>
      </c>
    </row>
    <row r="36">
      <c r="A36" s="18" t="n">
        <v>46326</v>
      </c>
      <c r="B36" s="19">
        <f>SUMIFS('Raw Sales'!$H$2:$H$51,'Raw Sales'!$A$2:$A$51,A36)</f>
        <v/>
      </c>
      <c r="C36" s="19">
        <f>SUMIFS('Raw Sales'!$H$2:$H$51,'Raw Sales'!$A$2:$A$51,A36,'Raw Sales'!$J$2:$J$51,"Completed")</f>
        <v/>
      </c>
      <c r="D36" s="11">
        <f>COUNTIFS('Raw Sales'!$A$2:$A$51,A36,'Raw Sales'!$B$2:$B$51,"&lt;&gt;")</f>
        <v/>
      </c>
    </row>
    <row r="39">
      <c r="A39" s="7" t="inlineStr">
        <is>
          <t>Weekly totals (Monday–Sunday)</t>
        </is>
      </c>
    </row>
    <row r="40">
      <c r="A40" s="8" t="inlineStr">
        <is>
          <t>Week Start</t>
        </is>
      </c>
      <c r="B40" s="8" t="inlineStr">
        <is>
          <t>Week End</t>
        </is>
      </c>
      <c r="C40" s="8" t="inlineStr">
        <is>
          <t>Total Sales</t>
        </is>
      </c>
      <c r="D40" s="8" t="inlineStr">
        <is>
          <t>Completed Sales</t>
        </is>
      </c>
    </row>
    <row r="41">
      <c r="A41" s="18" t="n">
        <v>46293</v>
      </c>
      <c r="B41" s="18" t="n">
        <v>46299</v>
      </c>
      <c r="C41" s="19">
        <f>SUMIFS('Raw Sales'!$H$2:$H$51,'Raw Sales'!$A$2:$A$51,"&gt;="&amp;A41,'Raw Sales'!$A$2:$A$51,"&lt;="&amp;B41)</f>
        <v/>
      </c>
      <c r="D41" s="19">
        <f>SUMIFS('Raw Sales'!$H$2:$H$51,'Raw Sales'!$A$2:$A$51,"&gt;="&amp;A41,'Raw Sales'!$A$2:$A$51,"&lt;="&amp;B41,'Raw Sales'!$J$2:$J$51,"Completed")</f>
        <v/>
      </c>
    </row>
    <row r="42">
      <c r="A42" s="18" t="n">
        <v>46300</v>
      </c>
      <c r="B42" s="18" t="n">
        <v>46306</v>
      </c>
      <c r="C42" s="19">
        <f>SUMIFS('Raw Sales'!$H$2:$H$51,'Raw Sales'!$A$2:$A$51,"&gt;="&amp;A42,'Raw Sales'!$A$2:$A$51,"&lt;="&amp;B42)</f>
        <v/>
      </c>
      <c r="D42" s="19">
        <f>SUMIFS('Raw Sales'!$H$2:$H$51,'Raw Sales'!$A$2:$A$51,"&gt;="&amp;A42,'Raw Sales'!$A$2:$A$51,"&lt;="&amp;B42,'Raw Sales'!$J$2:$J$51,"Completed")</f>
        <v/>
      </c>
    </row>
    <row r="43">
      <c r="A43" s="18" t="n">
        <v>46307</v>
      </c>
      <c r="B43" s="18" t="n">
        <v>46313</v>
      </c>
      <c r="C43" s="19">
        <f>SUMIFS('Raw Sales'!$H$2:$H$51,'Raw Sales'!$A$2:$A$51,"&gt;="&amp;A43,'Raw Sales'!$A$2:$A$51,"&lt;="&amp;B43)</f>
        <v/>
      </c>
      <c r="D43" s="19">
        <f>SUMIFS('Raw Sales'!$H$2:$H$51,'Raw Sales'!$A$2:$A$51,"&gt;="&amp;A43,'Raw Sales'!$A$2:$A$51,"&lt;="&amp;B43,'Raw Sales'!$J$2:$J$51,"Completed")</f>
        <v/>
      </c>
    </row>
    <row r="44">
      <c r="A44" s="18" t="n">
        <v>46314</v>
      </c>
      <c r="B44" s="18" t="n">
        <v>46320</v>
      </c>
      <c r="C44" s="19">
        <f>SUMIFS('Raw Sales'!$H$2:$H$51,'Raw Sales'!$A$2:$A$51,"&gt;="&amp;A44,'Raw Sales'!$A$2:$A$51,"&lt;="&amp;B44)</f>
        <v/>
      </c>
      <c r="D44" s="19">
        <f>SUMIFS('Raw Sales'!$H$2:$H$51,'Raw Sales'!$A$2:$A$51,"&gt;="&amp;A44,'Raw Sales'!$A$2:$A$51,"&lt;="&amp;B44,'Raw Sales'!$J$2:$J$51,"Completed")</f>
        <v/>
      </c>
    </row>
    <row r="45">
      <c r="A45" s="18" t="n">
        <v>46321</v>
      </c>
      <c r="B45" s="18" t="n">
        <v>46327</v>
      </c>
      <c r="C45" s="19">
        <f>SUMIFS('Raw Sales'!$H$2:$H$51,'Raw Sales'!$A$2:$A$51,"&gt;="&amp;A45,'Raw Sales'!$A$2:$A$51,"&lt;="&amp;B45)</f>
        <v/>
      </c>
      <c r="D45" s="19">
        <f>SUMIFS('Raw Sales'!$H$2:$H$51,'Raw Sales'!$A$2:$A$51,"&gt;="&amp;A45,'Raw Sales'!$A$2:$A$51,"&lt;="&amp;B45,'Raw Sales'!$J$2:$J$51,"Completed")</f>
        <v/>
      </c>
    </row>
    <row r="49">
      <c r="A49" s="7" t="inlineStr">
        <is>
          <t>Monthly totals</t>
        </is>
      </c>
    </row>
    <row r="50">
      <c r="A50" s="8" t="inlineStr">
        <is>
          <t>Month Start</t>
        </is>
      </c>
      <c r="B50" s="8" t="inlineStr">
        <is>
          <t>Month End</t>
        </is>
      </c>
      <c r="C50" s="8" t="inlineStr">
        <is>
          <t>Total Sales</t>
        </is>
      </c>
      <c r="D50" s="8" t="inlineStr">
        <is>
          <t>Completed Sales</t>
        </is>
      </c>
      <c r="E50" s="8" t="inlineStr">
        <is>
          <t>Order Count</t>
        </is>
      </c>
    </row>
    <row r="51">
      <c r="A51" s="18" t="n">
        <v>46296</v>
      </c>
      <c r="B51" s="18" t="n">
        <v>46326</v>
      </c>
      <c r="C51" s="19">
        <f>SUMIFS('Raw Sales'!$H$2:$H$51,'Raw Sales'!$A$2:$A$51,"&gt;="&amp;A51,'Raw Sales'!$A$2:$A$51,"&lt;="&amp;B51)</f>
        <v/>
      </c>
      <c r="D51" s="19">
        <f>SUMIFS('Raw Sales'!$H$2:$H$51,'Raw Sales'!$A$2:$A$51,"&gt;="&amp;A51,'Raw Sales'!$A$2:$A$51,"&lt;="&amp;B51,'Raw Sales'!$J$2:$J$51,"Completed")</f>
        <v/>
      </c>
      <c r="E51" s="11">
        <f>COUNTIFS('Raw Sales'!$A$2:$A$51,"&gt;="&amp;A51,'Raw Sales'!$A$2:$A$51,"&lt;="&amp;B51,'Raw Sales'!$B$2:$B$51,"&lt;&gt;")</f>
        <v/>
      </c>
    </row>
    <row r="52">
      <c r="A52" s="18" t="n">
        <v>46327</v>
      </c>
      <c r="B52" s="18" t="n">
        <v>46356</v>
      </c>
      <c r="C52" s="19">
        <f>SUMIFS('Raw Sales'!$H$2:$H$51,'Raw Sales'!$A$2:$A$51,"&gt;="&amp;A52,'Raw Sales'!$A$2:$A$51,"&lt;="&amp;B52)</f>
        <v/>
      </c>
      <c r="D52" s="19">
        <f>SUMIFS('Raw Sales'!$H$2:$H$51,'Raw Sales'!$A$2:$A$51,"&gt;="&amp;A52,'Raw Sales'!$A$2:$A$51,"&lt;="&amp;B52,'Raw Sales'!$J$2:$J$51,"Completed")</f>
        <v/>
      </c>
      <c r="E52" s="11">
        <f>COUNTIFS('Raw Sales'!$A$2:$A$51,"&gt;="&amp;A52,'Raw Sales'!$A$2:$A$51,"&lt;="&amp;B52,'Raw Sales'!$B$2:$B$51,"&lt;&gt;")</f>
        <v/>
      </c>
    </row>
    <row r="53">
      <c r="A53" s="18" t="n">
        <v>46357</v>
      </c>
      <c r="B53" s="18" t="n">
        <v>46387</v>
      </c>
      <c r="C53" s="19">
        <f>SUMIFS('Raw Sales'!$H$2:$H$51,'Raw Sales'!$A$2:$A$51,"&gt;="&amp;A53,'Raw Sales'!$A$2:$A$51,"&lt;="&amp;B53)</f>
        <v/>
      </c>
      <c r="D53" s="19">
        <f>SUMIFS('Raw Sales'!$H$2:$H$51,'Raw Sales'!$A$2:$A$51,"&gt;="&amp;A53,'Raw Sales'!$A$2:$A$51,"&lt;="&amp;B53,'Raw Sales'!$J$2:$J$51,"Completed")</f>
        <v/>
      </c>
      <c r="E53" s="11">
        <f>COUNTIFS('Raw Sales'!$A$2:$A$51,"&gt;="&amp;A53,'Raw Sales'!$A$2:$A$51,"&lt;="&amp;B53,'Raw Sales'!$B$2:$B$51,"&lt;&gt;")</f>
        <v/>
      </c>
    </row>
  </sheetData>
  <mergeCells count="2">
    <mergeCell ref="A1:D1"/>
    <mergeCell ref="A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2" customWidth="1" min="1" max="1"/>
    <col width="100" customWidth="1" min="2" max="2"/>
  </cols>
  <sheetData>
    <row r="1">
      <c r="A1" s="12" t="inlineStr">
        <is>
          <t>SALES TRACKER — QUICK START</t>
        </is>
      </c>
    </row>
    <row r="2" ht="42" customHeight="1">
      <c r="A2" s="13" t="inlineStr">
        <is>
          <t>Purpose</t>
        </is>
      </c>
      <c r="B2" s="14" t="inlineStr">
        <is>
          <t>Enter sales only in the Raw Sales tab. The Summary tab calculates daily, weekly, and monthly totals.</t>
        </is>
      </c>
    </row>
    <row r="3" ht="42" customHeight="1">
      <c r="A3" s="13" t="inlineStr">
        <is>
          <t>Step 1</t>
        </is>
      </c>
      <c r="B3" s="15" t="inlineStr">
        <is>
          <t>Open Raw Sales and add one row per order. Do not overwrite the formula in Sales Amount (column H).</t>
        </is>
      </c>
    </row>
    <row r="4" ht="42" customHeight="1">
      <c r="A4" s="13" t="inlineStr">
        <is>
          <t>Step 2</t>
        </is>
      </c>
      <c r="B4" s="15" t="inlineStr">
        <is>
          <t>Use the dropdowns for salesperson, category, payment method, and status. Units must be a positive whole number; unit price must be zero or more.</t>
        </is>
      </c>
    </row>
    <row r="5" ht="42" customHeight="1">
      <c r="A5" s="13" t="inlineStr">
        <is>
          <t>Step 3</t>
        </is>
      </c>
      <c r="B5" s="15" t="inlineStr">
        <is>
          <t>Check the Summary tab for daily totals, Monday–Sunday weekly totals, and monthly totals.</t>
        </is>
      </c>
    </row>
    <row r="6" ht="42" customHeight="1">
      <c r="A6" s="13" t="inlineStr">
        <is>
          <t>Step 4</t>
        </is>
      </c>
      <c r="B6" s="15" t="inlineStr">
        <is>
          <t>To use in Google Sheets: upload the .xlsx file to Google Drive, then choose Open with → Google Sheets. Check formulas after conversion.</t>
        </is>
      </c>
    </row>
    <row r="7" ht="42" customHeight="1">
      <c r="A7" s="13" t="inlineStr">
        <is>
          <t>Formula logic</t>
        </is>
      </c>
      <c r="B7" s="15" t="inlineStr">
        <is>
          <t>Sales Amount = Units × Unit Price. SUMIFS is used with date boundaries for daily, weekly, and monthly sales; COUNTIFS counts orders.</t>
        </is>
      </c>
    </row>
    <row r="8" ht="42" customHeight="1">
      <c r="A8" s="13" t="inlineStr">
        <is>
          <t>Important</t>
        </is>
      </c>
      <c r="B8" s="15" t="inlineStr">
        <is>
          <t>Sample data is fictional and for demonstration only. Replace or append records for real use. The workbook has formula-ready rows through row 51.</t>
        </is>
      </c>
    </row>
    <row r="9" ht="42" customHeight="1">
      <c r="A9" s="13" t="inlineStr">
        <is>
          <t>Manual check</t>
        </is>
      </c>
      <c r="B9" s="15" t="inlineStr">
        <is>
          <t>Sample data total sales = ₹25,010.00 across 20 orders. One returned order is included in gross sales; Completed Sales excludes the returned order.</t>
        </is>
      </c>
    </row>
  </sheetData>
  <mergeCells count="1">
    <mergeCell ref="A1:B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2026-10-27T10:25:00Z</dcterms:created>
  <dcterms:modified xmlns:dcterms="http://purl.org/dc/terms/" xmlns:xsi="http://www.w3.org/2001/XMLSchema-instance" xsi:type="dcterms:W3CDTF">2026-10-27T10:25:09Z</dcterms:modified>
</cp:coreProperties>
</file>